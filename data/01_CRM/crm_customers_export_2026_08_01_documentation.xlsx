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JEP\DATA ANALYST PORTFOLIO\Lj_Dev_Commerce\data\"/>
    </mc:Choice>
  </mc:AlternateContent>
  <xr:revisionPtr revIDLastSave="0" documentId="13_ncr:1_{4CE24107-6904-4513-81EE-170A88CCDE4D}" xr6:coauthVersionLast="47" xr6:coauthVersionMax="47" xr10:uidLastSave="{00000000-0000-0000-0000-000000000000}"/>
  <bookViews>
    <workbookView xWindow="-108" yWindow="-108" windowWidth="23256" windowHeight="12456" tabRatio="712" firstSheet="2" activeTab="5" xr2:uid="{00000000-000D-0000-FFFF-FFFF00000000}"/>
  </bookViews>
  <sheets>
    <sheet name="CRM Customers" sheetId="1" r:id="rId1"/>
    <sheet name="Steps &amp; Checklist" sheetId="5" r:id="rId2"/>
    <sheet name="2. Review Data Dictionary" sheetId="2" r:id="rId3"/>
    <sheet name="2. Reference Data Dictionary" sheetId="3" r:id="rId4"/>
    <sheet name="3. Manual Inspection" sheetId="6" r:id="rId5"/>
    <sheet name="Data Cleaning and Transfomation" sheetId="7" r:id="rId6"/>
  </sheets>
  <definedNames>
    <definedName name="_xlnm._FilterDatabase" localSheetId="2" hidden="1">'2. Review Data Dictionary'!$A$1:$E$13</definedName>
    <definedName name="_xlnm._FilterDatabase" localSheetId="4" hidden="1">'3. Manual Inspection'!$A$1:$L$17</definedName>
    <definedName name="_xlnm._FilterDatabase" localSheetId="0" hidden="1">'CRM Customers'!$A$1:$L$1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C4" i="2"/>
  <c r="C5" i="2"/>
  <c r="C6" i="2"/>
  <c r="C7" i="2"/>
  <c r="C8" i="2"/>
  <c r="C9" i="2"/>
  <c r="C10" i="2"/>
  <c r="C11" i="2"/>
  <c r="C12" i="2"/>
  <c r="C13" i="2"/>
  <c r="C2" i="2"/>
  <c r="B3" i="2"/>
  <c r="B4" i="2"/>
  <c r="B5" i="2"/>
  <c r="B6" i="2"/>
  <c r="B7" i="2"/>
  <c r="B8" i="2"/>
  <c r="B9" i="2"/>
  <c r="B10" i="2"/>
  <c r="B11" i="2"/>
  <c r="B12" i="2"/>
  <c r="B13" i="2"/>
  <c r="B2" i="2"/>
  <c r="E3" i="2"/>
  <c r="E4" i="2"/>
  <c r="E5" i="2"/>
  <c r="E6" i="2"/>
  <c r="E7" i="2"/>
  <c r="E8" i="2"/>
  <c r="E9" i="2"/>
  <c r="E10" i="2"/>
  <c r="E11" i="2"/>
  <c r="E12" i="2"/>
  <c r="E13" i="2"/>
  <c r="E2" i="2"/>
  <c r="D3" i="2"/>
  <c r="D4" i="2"/>
  <c r="D5" i="2"/>
  <c r="D6" i="2"/>
  <c r="D7" i="2"/>
  <c r="D8" i="2"/>
  <c r="D9" i="2"/>
  <c r="D10" i="2"/>
  <c r="D11" i="2"/>
  <c r="D12" i="2"/>
  <c r="D13" i="2"/>
  <c r="D2" i="2"/>
</calcChain>
</file>

<file path=xl/sharedStrings.xml><?xml version="1.0" encoding="utf-8"?>
<sst xmlns="http://schemas.openxmlformats.org/spreadsheetml/2006/main" count="669" uniqueCount="273">
  <si>
    <t>Cust ID</t>
  </si>
  <si>
    <t>Full Name</t>
  </si>
  <si>
    <t>Email Address</t>
  </si>
  <si>
    <t>Mobile</t>
  </si>
  <si>
    <t>Address</t>
  </si>
  <si>
    <t>City</t>
  </si>
  <si>
    <t>Country</t>
  </si>
  <si>
    <t>Status</t>
  </si>
  <si>
    <t>Created Date</t>
  </si>
  <si>
    <t>Created By</t>
  </si>
  <si>
    <t>Updated Date</t>
  </si>
  <si>
    <t>Updated By</t>
  </si>
  <si>
    <t>C001</t>
  </si>
  <si>
    <t xml:space="preserve"> Jeff Sanchez </t>
  </si>
  <si>
    <t>jeff@email.com</t>
  </si>
  <si>
    <t>+971559522199</t>
  </si>
  <si>
    <t>Al Jafiliya</t>
  </si>
  <si>
    <t>Dubai</t>
  </si>
  <si>
    <t>UAE</t>
  </si>
  <si>
    <t>Active</t>
  </si>
  <si>
    <t>2026-07-01</t>
  </si>
  <si>
    <t>crm_admin</t>
  </si>
  <si>
    <t>2026-07-15</t>
  </si>
  <si>
    <t>C002</t>
  </si>
  <si>
    <t>Maria Santos</t>
  </si>
  <si>
    <t>maria@email.com</t>
  </si>
  <si>
    <t>+639171234567</t>
  </si>
  <si>
    <t>Makati</t>
  </si>
  <si>
    <t>Manila</t>
  </si>
  <si>
    <t>Philippines</t>
  </si>
  <si>
    <t>2026/07/02</t>
  </si>
  <si>
    <t>2026/07/10</t>
  </si>
  <si>
    <t>C003</t>
  </si>
  <si>
    <t>AHMED ALI</t>
  </si>
  <si>
    <t>+971501112223</t>
  </si>
  <si>
    <t>Al Nahda</t>
  </si>
  <si>
    <t>01-07-2026</t>
  </si>
  <si>
    <t>15-07-2026</t>
  </si>
  <si>
    <t>C004</t>
  </si>
  <si>
    <t>John Cruz</t>
  </si>
  <si>
    <t>john@email.com</t>
  </si>
  <si>
    <t>97150ABC123</t>
  </si>
  <si>
    <t>Business Bay</t>
  </si>
  <si>
    <t>Inactive</t>
  </si>
  <si>
    <t>2026-07-03</t>
  </si>
  <si>
    <t>2026-07-11</t>
  </si>
  <si>
    <t>C005</t>
  </si>
  <si>
    <t>Anne Reyes</t>
  </si>
  <si>
    <t>anne@email.com</t>
  </si>
  <si>
    <t>+639181112223</t>
  </si>
  <si>
    <t>Cebu</t>
  </si>
  <si>
    <t>2026-07-04</t>
  </si>
  <si>
    <t>2026-07-12</t>
  </si>
  <si>
    <t>C006</t>
  </si>
  <si>
    <t>Peter Lim</t>
  </si>
  <si>
    <t>peter@email.com</t>
  </si>
  <si>
    <t>+6591234567</t>
  </si>
  <si>
    <t>Orchard</t>
  </si>
  <si>
    <t>Singapore</t>
  </si>
  <si>
    <t>2026-07-05</t>
  </si>
  <si>
    <t>2026-07-13</t>
  </si>
  <si>
    <t>C007</t>
  </si>
  <si>
    <t>Lara Dizon</t>
  </si>
  <si>
    <t>lara@email.com</t>
  </si>
  <si>
    <t>Quezon City</t>
  </si>
  <si>
    <t>2026-07-06</t>
  </si>
  <si>
    <t>2026-07-14</t>
  </si>
  <si>
    <t>C008</t>
  </si>
  <si>
    <t>Kevin Tan</t>
  </si>
  <si>
    <t>kevin@email.com</t>
  </si>
  <si>
    <t>+971556667778</t>
  </si>
  <si>
    <t>Marina</t>
  </si>
  <si>
    <t>Abu Dhabi</t>
  </si>
  <si>
    <t>2026-07-07</t>
  </si>
  <si>
    <t>C009</t>
  </si>
  <si>
    <t xml:space="preserve"> Fatima Noor</t>
  </si>
  <si>
    <t>fatima@email.com</t>
  </si>
  <si>
    <t>+971509998887</t>
  </si>
  <si>
    <t>Deira</t>
  </si>
  <si>
    <t>2026-07-08</t>
  </si>
  <si>
    <t>C010</t>
  </si>
  <si>
    <t>Chris Lee</t>
  </si>
  <si>
    <t>chris@email.com</t>
  </si>
  <si>
    <t>+821012345678</t>
  </si>
  <si>
    <t>Gangnam</t>
  </si>
  <si>
    <t>Seoul</t>
  </si>
  <si>
    <t>Korea</t>
  </si>
  <si>
    <t>2026-07-09</t>
  </si>
  <si>
    <t>C011</t>
  </si>
  <si>
    <t>mary ann dela cruz</t>
  </si>
  <si>
    <t>mary@email.com</t>
  </si>
  <si>
    <t>+639191234567</t>
  </si>
  <si>
    <t>Pasig</t>
  </si>
  <si>
    <t>manila</t>
  </si>
  <si>
    <t>active</t>
  </si>
  <si>
    <t>2026-07-10</t>
  </si>
  <si>
    <t>C012</t>
  </si>
  <si>
    <t>Robert Ong</t>
  </si>
  <si>
    <t>robert@email.com</t>
  </si>
  <si>
    <t>+971558887776</t>
  </si>
  <si>
    <t>JVC</t>
  </si>
  <si>
    <t>ACTIVE</t>
  </si>
  <si>
    <t>C013</t>
  </si>
  <si>
    <t>Grace Yu</t>
  </si>
  <si>
    <t>grace@email.com</t>
  </si>
  <si>
    <t>+971551234567</t>
  </si>
  <si>
    <t>Karama</t>
  </si>
  <si>
    <t>C014</t>
  </si>
  <si>
    <t>Nina Lopez</t>
  </si>
  <si>
    <t>+639177778888</t>
  </si>
  <si>
    <t>Davao</t>
  </si>
  <si>
    <t>C015</t>
  </si>
  <si>
    <t xml:space="preserve"> Omar Hassan </t>
  </si>
  <si>
    <t>omar@email.com</t>
  </si>
  <si>
    <t>+971554445556</t>
  </si>
  <si>
    <t>Sharjah</t>
  </si>
  <si>
    <t>source_columns</t>
  </si>
  <si>
    <t>ljdev_columns</t>
  </si>
  <si>
    <t>Column Name</t>
  </si>
  <si>
    <t>Business Name</t>
  </si>
  <si>
    <t>PK</t>
  </si>
  <si>
    <t>FK</t>
  </si>
  <si>
    <t>Example</t>
  </si>
  <si>
    <t>customer_id</t>
  </si>
  <si>
    <t>Customer ID</t>
  </si>
  <si>
    <t>Text</t>
  </si>
  <si>
    <t>Yes</t>
  </si>
  <si>
    <t>✅</t>
  </si>
  <si>
    <t>No</t>
  </si>
  <si>
    <t>customer_name</t>
  </si>
  <si>
    <t>Customer Name</t>
  </si>
  <si>
    <t>Jeff Sanchez</t>
  </si>
  <si>
    <t>email</t>
  </si>
  <si>
    <t>Optional</t>
  </si>
  <si>
    <t>phone</t>
  </si>
  <si>
    <t>Phone Number</t>
  </si>
  <si>
    <t>address</t>
  </si>
  <si>
    <t>city</t>
  </si>
  <si>
    <t>country</t>
  </si>
  <si>
    <t>customer_status</t>
  </si>
  <si>
    <t>Customer Status</t>
  </si>
  <si>
    <t>created_date</t>
  </si>
  <si>
    <t>DateTime</t>
  </si>
  <si>
    <t>created_by</t>
  </si>
  <si>
    <t>updated_date</t>
  </si>
  <si>
    <t>updated_by</t>
  </si>
  <si>
    <t>What system produced this file?</t>
  </si>
  <si>
    <t>Review column names.</t>
  </si>
  <si>
    <t>Scan a few rows for obvious issues.</t>
  </si>
  <si>
    <t>Think about how the source maps to the target table.</t>
  </si>
  <si>
    <t>CRM</t>
  </si>
  <si>
    <t>1. Understand the business purpose</t>
  </si>
  <si>
    <t>2. Review the Data Dictionary</t>
  </si>
  <si>
    <t>3. Manual Inspection</t>
  </si>
  <si>
    <t>Count rows and columns.</t>
  </si>
  <si>
    <t>Identify missing values.</t>
  </si>
  <si>
    <t>Detect duplicates.</t>
  </si>
  <si>
    <t>Review unique values (for fields like status).</t>
  </si>
  <si>
    <t>Check data types and formats.</t>
  </si>
  <si>
    <t>4. Python Data Profiling</t>
  </si>
  <si>
    <t>Apply transformations based on the business rules.</t>
  </si>
  <si>
    <t>5. Data Cleaning</t>
  </si>
  <si>
    <t>Confirm the cleaned data now satisfies the data dictionary.</t>
  </si>
  <si>
    <t>6. Validation</t>
  </si>
  <si>
    <t>Perform the appropriate loading strategy (Full Load, Incremental Load, UPSERT, or Append-Only).</t>
  </si>
  <si>
    <t>7. Load</t>
  </si>
  <si>
    <t>What is the purpose of this file?</t>
  </si>
  <si>
    <t>Why did the business send this file?</t>
  </si>
  <si>
    <t>Which table in our database will receive this data?</t>
  </si>
  <si>
    <t>Why do we need to load this data into our centralized database instead of using the Excel file directly?</t>
  </si>
  <si>
    <t>It needs to undergo ETL for easier SQL Analyzation and Power Bi Visualization</t>
  </si>
  <si>
    <t>It contains customer information</t>
  </si>
  <si>
    <r>
      <t xml:space="preserve">transform it into data that matches the </t>
    </r>
    <r>
      <rPr>
        <sz val="10"/>
        <color theme="1"/>
        <rFont val="Arial Unicode MS"/>
      </rPr>
      <t>commerce.customer</t>
    </r>
  </si>
  <si>
    <t>The business sent the file so the latest customer information can be cleaned, validated, and loaded into the company's centralized database for reporting and analytics.</t>
  </si>
  <si>
    <t>The file contains customer master data such as customer details and contact information maintained by the CRM system.</t>
  </si>
  <si>
    <t>The file was exported from the company's Customer Relationship Management (CRM) system, which stores and manages customer information.</t>
  </si>
  <si>
    <t>DB Side</t>
  </si>
  <si>
    <t>Business Side</t>
  </si>
  <si>
    <t>commerce.customer</t>
  </si>
  <si>
    <t>The data must undergo ETL so it can be cleaned, validated, standardized, and integrated with other business data before being stored in the centralized database. This allows SQL analysis and Power BI dashboards to use one consistent and trusted source of data.</t>
  </si>
  <si>
    <t>required?</t>
  </si>
  <si>
    <t>Which source columns map to which database columns.</t>
  </si>
  <si>
    <t>Which fields are required.</t>
  </si>
  <si>
    <t>Which fields are optional.</t>
  </si>
  <si>
    <t>Which business rules we'll validate before loading.</t>
  </si>
  <si>
    <t>business rules</t>
  </si>
  <si>
    <t>Business Rules</t>
  </si>
  <si>
    <t>Must not be blank. Must be unique. Remove duplicate Customer IDs. Trim leading/trailing spaces.</t>
  </si>
  <si>
    <t>Can be blank. Remove unnecessary spaces. Validate phone format if required.</t>
  </si>
  <si>
    <t>Data Type</t>
  </si>
  <si>
    <t>Required</t>
  </si>
  <si>
    <t>Must not be blank. Trim leading/trailing spaces. Standardize name formatting if required by the business.</t>
  </si>
  <si>
    <t>Can be blank. If provided, it should follow a valid email format. Trim spaces.</t>
  </si>
  <si>
    <t>Can be blank. Trim leading/trailing spaces.</t>
  </si>
  <si>
    <t>Can be blank. Standardize capitalization (e.g., "manila" → "Manila"). Trim spaces.</t>
  </si>
  <si>
    <t>Must not be blank. Standardize country names (e.g., "UAE", "United Arab Emirates").</t>
  </si>
  <si>
    <r>
      <t xml:space="preserve">Must not be blank. Only allow valid values such as </t>
    </r>
    <r>
      <rPr>
        <b/>
        <sz val="11"/>
        <color theme="1"/>
        <rFont val="Calibri"/>
        <family val="2"/>
        <scheme val="minor"/>
      </rPr>
      <t>Active</t>
    </r>
    <r>
      <rPr>
        <sz val="11"/>
        <color theme="1"/>
        <rFont val="Calibri"/>
        <family val="2"/>
        <scheme val="minor"/>
      </rPr>
      <t xml:space="preserve"> or </t>
    </r>
    <r>
      <rPr>
        <b/>
        <sz val="11"/>
        <color theme="1"/>
        <rFont val="Calibri"/>
        <family val="2"/>
        <scheme val="minor"/>
      </rPr>
      <t>Inactive</t>
    </r>
    <r>
      <rPr>
        <sz val="11"/>
        <color theme="1"/>
        <rFont val="Calibri"/>
        <family val="2"/>
        <scheme val="minor"/>
      </rPr>
      <t>. Standardize capitalization.</t>
    </r>
  </si>
  <si>
    <t>Must not be blank. Convert to a standard datetime format before loading.</t>
  </si>
  <si>
    <t>Must not be blank. Trim leading/trailing spaces.</t>
  </si>
  <si>
    <t>need rename?</t>
  </si>
  <si>
    <t>Inspection Area</t>
  </si>
  <si>
    <t>Question to Answer</t>
  </si>
  <si>
    <t>Observation</t>
  </si>
  <si>
    <t>File Structure</t>
  </si>
  <si>
    <t>Does the file contain all the expected columns? Are any columns missing or are there extra columns?</t>
  </si>
  <si>
    <t>Column Names</t>
  </si>
  <si>
    <t>Do the source column names match our database columns? Which columns need to be renamed?</t>
  </si>
  <si>
    <t>Sample Records</t>
  </si>
  <si>
    <t>After reviewing the first few rows, does the data look reasonable and complete?</t>
  </si>
  <si>
    <t>Missing Values</t>
  </si>
  <si>
    <t>Which columns contain blank or missing values? Are they required according to the Data Dictionary?</t>
  </si>
  <si>
    <t>Duplicate Records</t>
  </si>
  <si>
    <t>Can you immediately identify any duplicate records (e.g., duplicate Customer IDs)?</t>
  </si>
  <si>
    <t>Text Formatting</t>
  </si>
  <si>
    <t>Are there leading/trailing spaces, inconsistent capitalization, or spelling inconsistencies?</t>
  </si>
  <si>
    <t>Date Formatting</t>
  </si>
  <si>
    <t>Are all dates in the same format, or are there multiple date formats that need to be standardized?</t>
  </si>
  <si>
    <t>Phone Formatting</t>
  </si>
  <si>
    <t>Do phone numbers follow a consistent format? Are there any invalid phone numbers or unexpected characters?</t>
  </si>
  <si>
    <t>Status Values</t>
  </si>
  <si>
    <t>Do the values follow the business rules (e.g., only "Active" and "Inactive")? Are there inconsistent variations such as "ACTIVE" or "active"?</t>
  </si>
  <si>
    <t>Business Rule Compliance</t>
  </si>
  <si>
    <t>Based on the Data Dictionary, which records or columns appear to violate the business rules?</t>
  </si>
  <si>
    <t>Possible ETL Tasks</t>
  </si>
  <si>
    <t>blank email, phone, address</t>
  </si>
  <si>
    <t>found duplicate customer IDs</t>
  </si>
  <si>
    <t>date formats need to be standardized</t>
  </si>
  <si>
    <t>invalid phone numbers found</t>
  </si>
  <si>
    <t>found different column names from source and database</t>
  </si>
  <si>
    <t>validate phone number</t>
  </si>
  <si>
    <t>remove / fix duplicates</t>
  </si>
  <si>
    <t>trim spaces, standardize values</t>
  </si>
  <si>
    <t>standardize values</t>
  </si>
  <si>
    <t>rename columns</t>
  </si>
  <si>
    <t>The source file contains all expected columns. No missing or additional columns were identified.</t>
  </si>
  <si>
    <t>Most records appear reasonable and complete, although some records contain missing values and formatting inconsistencies.</t>
  </si>
  <si>
    <t>Allow optional fields to remain blank or flag missing required fields for review.</t>
  </si>
  <si>
    <t>Leading/trailing spaces and inconsistent capitalization were observed.</t>
  </si>
  <si>
    <t>standardize date formats</t>
  </si>
  <si>
    <t>Found variations such as "ACTIVE", "active", and "Inactive".</t>
  </si>
  <si>
    <t>Duplicate Customer ID, invalid phone number, inconsistent status values, inconsistent date formats</t>
  </si>
  <si>
    <t>Remove duplicates, validate phone numbers, standardize status values, standardize date formats</t>
  </si>
  <si>
    <t>Issue</t>
  </si>
  <si>
    <t>Field</t>
  </si>
  <si>
    <t>Action Type</t>
  </si>
  <si>
    <t>Planned Action</t>
  </si>
  <si>
    <t>Requires Business Review?</t>
  </si>
  <si>
    <t>Exact duplicate</t>
  </si>
  <si>
    <t>Remove</t>
  </si>
  <si>
    <t>Keep one C003 record and remove the exact duplicate</t>
  </si>
  <si>
    <t>Whitespace</t>
  </si>
  <si>
    <t>Auto-clean</t>
  </si>
  <si>
    <t>Remove leading/trailing spaces</t>
  </si>
  <si>
    <t>Capitalization</t>
  </si>
  <si>
    <t>Standardize</t>
  </si>
  <si>
    <t>Apply the approved customer-name formatting rule</t>
  </si>
  <si>
    <t>Yes — confirm naming standard</t>
  </si>
  <si>
    <t>Convert active and ACTIVE to Active</t>
  </si>
  <si>
    <t>Standardize manila to Manila</t>
  </si>
  <si>
    <t>Mixed date formats</t>
  </si>
  <si>
    <t>Transform</t>
  </si>
  <si>
    <t>Convert all dates to standardized datetime format</t>
  </si>
  <si>
    <t>Yes — confirm source date convention</t>
  </si>
  <si>
    <t>Invalid phone</t>
  </si>
  <si>
    <t>Business Review</t>
  </si>
  <si>
    <t>Do not invent or automatically replace the value</t>
  </si>
  <si>
    <t>Yes — CRM/business owner must provide the correct value</t>
  </si>
  <si>
    <t>Missing optional value</t>
  </si>
  <si>
    <t>Preserve</t>
  </si>
  <si>
    <t>Keep missing values as NULL</t>
  </si>
  <si>
    <t>Data Cleaning and Transfomation Plan</t>
  </si>
  <si>
    <t>Done</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</si>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</sst>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ont>
    <font>
      <b/>
      <sz val="11"/>
      <color theme="1"/>
      <name val="Calibri"/>
      <family val="2"/>
      <scheme val="minor"/>
    </font>
    <font>
      <sz val="11"/>
      <name val="Calibri"/>
      <family val="2"/>
    </font>
    <font>
      <u/>
      <sz val="11"/>
      <color theme="10"/>
      <name val="Calibri"/>
      <family val="2"/>
      <scheme val="minor"/>
    </font>
    <font>
      <sz val="10"/>
      <color theme="1"/>
      <name val="Arial Unicode MS"/>
    </font>
    <font>
      <b/>
      <sz val="15"/>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2" fillId="0" borderId="0" xfId="0" applyFont="1"/>
    <xf numFmtId="0" fontId="2" fillId="0" borderId="1" xfId="0" applyFont="1" applyBorder="1"/>
    <xf numFmtId="0" fontId="0" fillId="0" borderId="1" xfId="0" applyBorder="1"/>
    <xf numFmtId="0" fontId="3" fillId="0" borderId="1" xfId="0" applyFont="1" applyBorder="1"/>
    <xf numFmtId="0" fontId="1" fillId="0" borderId="1" xfId="0" applyFont="1" applyBorder="1"/>
    <xf numFmtId="0" fontId="0" fillId="0" borderId="0" xfId="0" applyAlignment="1">
      <alignment horizontal="left" vertical="center" indent="1"/>
    </xf>
    <xf numFmtId="0" fontId="2" fillId="0" borderId="1" xfId="0" applyFont="1" applyBorder="1" applyAlignment="1">
      <alignment horizontal="center" vertical="center"/>
    </xf>
    <xf numFmtId="0" fontId="0" fillId="0" borderId="1" xfId="0" applyBorder="1" applyAlignment="1">
      <alignment vertical="center"/>
    </xf>
    <xf numFmtId="0" fontId="4" fillId="0" borderId="1" xfId="1" applyBorder="1" applyAlignment="1">
      <alignment vertical="center"/>
    </xf>
    <xf numFmtId="22" fontId="0" fillId="0" borderId="1" xfId="0" applyNumberFormat="1" applyBorder="1" applyAlignment="1">
      <alignment vertical="center"/>
    </xf>
    <xf numFmtId="0" fontId="0" fillId="0" borderId="2" xfId="0" applyBorder="1"/>
    <xf numFmtId="0" fontId="6"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Fill="1" applyBorder="1" applyAlignment="1">
      <alignment horizontal="center"/>
    </xf>
    <xf numFmtId="0" fontId="0" fillId="0" borderId="7" xfId="0" applyBorder="1"/>
    <xf numFmtId="0" fontId="0" fillId="0" borderId="8" xfId="0" applyBorder="1"/>
    <xf numFmtId="0" fontId="0" fillId="0" borderId="3" xfId="0" applyBorder="1"/>
    <xf numFmtId="0" fontId="0" fillId="0" borderId="9" xfId="0" applyBorder="1"/>
  </cellXfs>
  <cellStyles count="2">
    <cellStyle name="Hyperlink" xfId="1" builtinId="8"/>
    <cellStyle name="Normal" xfId="0" builtinId="0"/>
  </cellStyles>
  <dxfs count="11">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D48351-5A8E-4FF1-9DBA-258A37C1B629}" name="Table1" displayName="Table1" ref="A2:F13" totalsRowShown="0" headerRowDxfId="0" headerRowBorderDxfId="8" tableBorderDxfId="9" totalsRowBorderDxfId="7">
  <autoFilter ref="A2:F13" xr:uid="{2DD48351-5A8E-4FF1-9DBA-258A37C1B629}"/>
  <tableColumns count="6">
    <tableColumn id="1" xr3:uid="{F3B9DF1B-BB43-4BAC-935A-787813085BC2}" name="Issue" dataDxfId="6"/>
    <tableColumn id="2" xr3:uid="{01FDA646-4A9E-474F-AF05-2D08A7253C7F}" name="Field" dataDxfId="5"/>
    <tableColumn id="3" xr3:uid="{B25668D7-3B77-428C-99EB-69749EFF1395}" name="Action Type" dataDxfId="4"/>
    <tableColumn id="4" xr3:uid="{D8DCEBC2-B6BE-4E03-87C7-9FF6EA8FC34C}" name="Planned Action" dataDxfId="3"/>
    <tableColumn id="5" xr3:uid="{1529FFDB-8E46-4B68-91FA-A556D59E40B5}" name="Requires Business Review?" dataDxfId="2"/>
    <tableColumn id="6" xr3:uid="{222B34B7-F789-4676-B47F-874BC2EEA9B1}" name="Status" dataDxfId="1"/>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jeff@email.com"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workbookViewId="0">
      <selection activeCell="F23" sqref="F23"/>
    </sheetView>
  </sheetViews>
  <sheetFormatPr defaultColWidth="7" defaultRowHeight="14.4"/>
  <cols>
    <col min="1" max="1" width="6.88671875" bestFit="1" customWidth="1"/>
    <col min="2" max="2" width="16.33203125" bestFit="1" customWidth="1"/>
    <col min="3" max="3" width="16.77734375" bestFit="1" customWidth="1"/>
    <col min="4" max="4" width="14.109375" bestFit="1" customWidth="1"/>
    <col min="5" max="5" width="11.33203125" bestFit="1" customWidth="1"/>
    <col min="6" max="6" width="9.21875" bestFit="1" customWidth="1"/>
    <col min="7" max="7" width="9.5546875" bestFit="1" customWidth="1"/>
    <col min="8" max="8" width="7.44140625" bestFit="1" customWidth="1"/>
    <col min="9" max="9" width="11.88671875" bestFit="1" customWidth="1"/>
    <col min="10" max="10" width="10.109375" bestFit="1" customWidth="1"/>
    <col min="11" max="11" width="12.6640625" bestFit="1" customWidth="1"/>
    <col min="12" max="12" width="10.88671875" bestFit="1" customWidth="1"/>
  </cols>
  <sheetData>
    <row r="1" spans="1:12">
      <c r="A1" s="5" t="s">
        <v>0</v>
      </c>
      <c r="B1" s="5" t="s">
        <v>1</v>
      </c>
      <c r="C1" s="5" t="s">
        <v>2</v>
      </c>
      <c r="D1" s="5" t="s">
        <v>3</v>
      </c>
      <c r="E1" s="5" t="s">
        <v>4</v>
      </c>
      <c r="F1" s="5" t="s">
        <v>5</v>
      </c>
      <c r="G1" s="5" t="s">
        <v>6</v>
      </c>
      <c r="H1" s="5" t="s">
        <v>7</v>
      </c>
      <c r="I1" s="5" t="s">
        <v>8</v>
      </c>
      <c r="J1" s="5" t="s">
        <v>9</v>
      </c>
      <c r="K1" s="5" t="s">
        <v>10</v>
      </c>
      <c r="L1" s="5" t="s">
        <v>11</v>
      </c>
    </row>
    <row r="2" spans="1:12">
      <c r="A2" s="3" t="s">
        <v>12</v>
      </c>
      <c r="B2" s="3" t="s">
        <v>13</v>
      </c>
      <c r="C2" s="3" t="s">
        <v>14</v>
      </c>
      <c r="D2" s="3" t="s">
        <v>15</v>
      </c>
      <c r="E2" s="3" t="s">
        <v>16</v>
      </c>
      <c r="F2" s="3" t="s">
        <v>17</v>
      </c>
      <c r="G2" s="3" t="s">
        <v>18</v>
      </c>
      <c r="H2" s="3" t="s">
        <v>19</v>
      </c>
      <c r="I2" s="3" t="s">
        <v>20</v>
      </c>
      <c r="J2" s="3" t="s">
        <v>21</v>
      </c>
      <c r="K2" s="3" t="s">
        <v>22</v>
      </c>
      <c r="L2" s="3" t="s">
        <v>21</v>
      </c>
    </row>
    <row r="3" spans="1:12">
      <c r="A3" s="3" t="s">
        <v>23</v>
      </c>
      <c r="B3" s="3" t="s">
        <v>24</v>
      </c>
      <c r="C3" s="3" t="s">
        <v>25</v>
      </c>
      <c r="D3" s="3" t="s">
        <v>26</v>
      </c>
      <c r="E3" s="3" t="s">
        <v>27</v>
      </c>
      <c r="F3" s="3" t="s">
        <v>28</v>
      </c>
      <c r="G3" s="3" t="s">
        <v>29</v>
      </c>
      <c r="H3" s="3" t="s">
        <v>19</v>
      </c>
      <c r="I3" s="3" t="s">
        <v>30</v>
      </c>
      <c r="J3" s="3" t="s">
        <v>21</v>
      </c>
      <c r="K3" s="3" t="s">
        <v>31</v>
      </c>
      <c r="L3" s="3" t="s">
        <v>21</v>
      </c>
    </row>
    <row r="4" spans="1:12">
      <c r="A4" s="3" t="s">
        <v>32</v>
      </c>
      <c r="B4" s="3" t="s">
        <v>33</v>
      </c>
      <c r="C4" s="3"/>
      <c r="D4" s="3" t="s">
        <v>34</v>
      </c>
      <c r="E4" s="3" t="s">
        <v>35</v>
      </c>
      <c r="F4" s="3" t="s">
        <v>17</v>
      </c>
      <c r="G4" s="3" t="s">
        <v>18</v>
      </c>
      <c r="H4" s="3" t="s">
        <v>19</v>
      </c>
      <c r="I4" s="3" t="s">
        <v>36</v>
      </c>
      <c r="J4" s="3" t="s">
        <v>21</v>
      </c>
      <c r="K4" s="3" t="s">
        <v>37</v>
      </c>
      <c r="L4" s="3" t="s">
        <v>21</v>
      </c>
    </row>
    <row r="5" spans="1:12">
      <c r="A5" s="3" t="s">
        <v>38</v>
      </c>
      <c r="B5" s="3" t="s">
        <v>39</v>
      </c>
      <c r="C5" s="3" t="s">
        <v>40</v>
      </c>
      <c r="D5" s="3" t="s">
        <v>41</v>
      </c>
      <c r="E5" s="3" t="s">
        <v>42</v>
      </c>
      <c r="F5" s="3" t="s">
        <v>17</v>
      </c>
      <c r="G5" s="3" t="s">
        <v>18</v>
      </c>
      <c r="H5" s="3" t="s">
        <v>43</v>
      </c>
      <c r="I5" s="3" t="s">
        <v>44</v>
      </c>
      <c r="J5" s="3" t="s">
        <v>21</v>
      </c>
      <c r="K5" s="3" t="s">
        <v>45</v>
      </c>
      <c r="L5" s="3" t="s">
        <v>21</v>
      </c>
    </row>
    <row r="6" spans="1:12">
      <c r="A6" s="3" t="s">
        <v>46</v>
      </c>
      <c r="B6" s="3" t="s">
        <v>47</v>
      </c>
      <c r="C6" s="3" t="s">
        <v>48</v>
      </c>
      <c r="D6" s="3" t="s">
        <v>49</v>
      </c>
      <c r="E6" s="3"/>
      <c r="F6" s="3" t="s">
        <v>50</v>
      </c>
      <c r="G6" s="3" t="s">
        <v>29</v>
      </c>
      <c r="H6" s="3" t="s">
        <v>19</v>
      </c>
      <c r="I6" s="3" t="s">
        <v>51</v>
      </c>
      <c r="J6" s="3" t="s">
        <v>21</v>
      </c>
      <c r="K6" s="3" t="s">
        <v>52</v>
      </c>
      <c r="L6" s="3" t="s">
        <v>21</v>
      </c>
    </row>
    <row r="7" spans="1:12">
      <c r="A7" s="3" t="s">
        <v>53</v>
      </c>
      <c r="B7" s="3" t="s">
        <v>54</v>
      </c>
      <c r="C7" s="3" t="s">
        <v>55</v>
      </c>
      <c r="D7" s="3" t="s">
        <v>56</v>
      </c>
      <c r="E7" s="3" t="s">
        <v>57</v>
      </c>
      <c r="F7" s="3" t="s">
        <v>58</v>
      </c>
      <c r="G7" s="3" t="s">
        <v>58</v>
      </c>
      <c r="H7" s="3" t="s">
        <v>19</v>
      </c>
      <c r="I7" s="3" t="s">
        <v>59</v>
      </c>
      <c r="J7" s="3" t="s">
        <v>21</v>
      </c>
      <c r="K7" s="3" t="s">
        <v>60</v>
      </c>
      <c r="L7" s="3" t="s">
        <v>21</v>
      </c>
    </row>
    <row r="8" spans="1:12">
      <c r="A8" s="3" t="s">
        <v>61</v>
      </c>
      <c r="B8" s="3" t="s">
        <v>62</v>
      </c>
      <c r="C8" s="3" t="s">
        <v>63</v>
      </c>
      <c r="D8" s="3"/>
      <c r="E8" s="3" t="s">
        <v>64</v>
      </c>
      <c r="F8" s="3" t="s">
        <v>28</v>
      </c>
      <c r="G8" s="3" t="s">
        <v>29</v>
      </c>
      <c r="H8" s="3" t="s">
        <v>19</v>
      </c>
      <c r="I8" s="3" t="s">
        <v>65</v>
      </c>
      <c r="J8" s="3" t="s">
        <v>21</v>
      </c>
      <c r="K8" s="3" t="s">
        <v>66</v>
      </c>
      <c r="L8" s="3" t="s">
        <v>21</v>
      </c>
    </row>
    <row r="9" spans="1:12">
      <c r="A9" s="3" t="s">
        <v>67</v>
      </c>
      <c r="B9" s="3" t="s">
        <v>68</v>
      </c>
      <c r="C9" s="3" t="s">
        <v>69</v>
      </c>
      <c r="D9" s="3" t="s">
        <v>70</v>
      </c>
      <c r="E9" s="3" t="s">
        <v>71</v>
      </c>
      <c r="F9" s="3" t="s">
        <v>72</v>
      </c>
      <c r="G9" s="3" t="s">
        <v>18</v>
      </c>
      <c r="H9" s="3" t="s">
        <v>19</v>
      </c>
      <c r="I9" s="3" t="s">
        <v>73</v>
      </c>
      <c r="J9" s="3" t="s">
        <v>21</v>
      </c>
      <c r="K9" s="3" t="s">
        <v>22</v>
      </c>
      <c r="L9" s="3" t="s">
        <v>21</v>
      </c>
    </row>
    <row r="10" spans="1:12">
      <c r="A10" s="3" t="s">
        <v>74</v>
      </c>
      <c r="B10" s="3" t="s">
        <v>75</v>
      </c>
      <c r="C10" s="3" t="s">
        <v>76</v>
      </c>
      <c r="D10" s="3" t="s">
        <v>77</v>
      </c>
      <c r="E10" s="3" t="s">
        <v>78</v>
      </c>
      <c r="F10" s="3" t="s">
        <v>17</v>
      </c>
      <c r="G10" s="3" t="s">
        <v>18</v>
      </c>
      <c r="H10" s="3" t="s">
        <v>19</v>
      </c>
      <c r="I10" s="3" t="s">
        <v>79</v>
      </c>
      <c r="J10" s="3" t="s">
        <v>21</v>
      </c>
      <c r="K10" s="3" t="s">
        <v>22</v>
      </c>
      <c r="L10" s="3" t="s">
        <v>21</v>
      </c>
    </row>
    <row r="11" spans="1:12">
      <c r="A11" s="3" t="s">
        <v>80</v>
      </c>
      <c r="B11" s="3" t="s">
        <v>81</v>
      </c>
      <c r="C11" s="3" t="s">
        <v>82</v>
      </c>
      <c r="D11" s="3" t="s">
        <v>83</v>
      </c>
      <c r="E11" s="3" t="s">
        <v>84</v>
      </c>
      <c r="F11" s="3" t="s">
        <v>85</v>
      </c>
      <c r="G11" s="3" t="s">
        <v>86</v>
      </c>
      <c r="H11" s="3" t="s">
        <v>19</v>
      </c>
      <c r="I11" s="3" t="s">
        <v>87</v>
      </c>
      <c r="J11" s="3" t="s">
        <v>21</v>
      </c>
      <c r="K11" s="3" t="s">
        <v>22</v>
      </c>
      <c r="L11" s="3" t="s">
        <v>21</v>
      </c>
    </row>
    <row r="12" spans="1:12">
      <c r="A12" s="3" t="s">
        <v>32</v>
      </c>
      <c r="B12" s="3" t="s">
        <v>33</v>
      </c>
      <c r="C12" s="3"/>
      <c r="D12" s="3" t="s">
        <v>34</v>
      </c>
      <c r="E12" s="3" t="s">
        <v>35</v>
      </c>
      <c r="F12" s="3" t="s">
        <v>17</v>
      </c>
      <c r="G12" s="3" t="s">
        <v>18</v>
      </c>
      <c r="H12" s="3" t="s">
        <v>19</v>
      </c>
      <c r="I12" s="3" t="s">
        <v>36</v>
      </c>
      <c r="J12" s="3" t="s">
        <v>21</v>
      </c>
      <c r="K12" s="3" t="s">
        <v>37</v>
      </c>
      <c r="L12" s="3" t="s">
        <v>21</v>
      </c>
    </row>
    <row r="13" spans="1:12">
      <c r="A13" s="3" t="s">
        <v>88</v>
      </c>
      <c r="B13" s="3" t="s">
        <v>89</v>
      </c>
      <c r="C13" s="3" t="s">
        <v>90</v>
      </c>
      <c r="D13" s="3" t="s">
        <v>91</v>
      </c>
      <c r="E13" s="3" t="s">
        <v>92</v>
      </c>
      <c r="F13" s="3" t="s">
        <v>93</v>
      </c>
      <c r="G13" s="3" t="s">
        <v>29</v>
      </c>
      <c r="H13" s="3" t="s">
        <v>94</v>
      </c>
      <c r="I13" s="3" t="s">
        <v>95</v>
      </c>
      <c r="J13" s="3" t="s">
        <v>21</v>
      </c>
      <c r="K13" s="3" t="s">
        <v>22</v>
      </c>
      <c r="L13" s="3" t="s">
        <v>21</v>
      </c>
    </row>
    <row r="14" spans="1:12">
      <c r="A14" s="3" t="s">
        <v>96</v>
      </c>
      <c r="B14" s="3" t="s">
        <v>97</v>
      </c>
      <c r="C14" s="3" t="s">
        <v>98</v>
      </c>
      <c r="D14" s="3" t="s">
        <v>99</v>
      </c>
      <c r="E14" s="3" t="s">
        <v>100</v>
      </c>
      <c r="F14" s="3" t="s">
        <v>17</v>
      </c>
      <c r="G14" s="3" t="s">
        <v>18</v>
      </c>
      <c r="H14" s="3" t="s">
        <v>101</v>
      </c>
      <c r="I14" s="3" t="s">
        <v>45</v>
      </c>
      <c r="J14" s="3" t="s">
        <v>21</v>
      </c>
      <c r="K14" s="3" t="s">
        <v>22</v>
      </c>
      <c r="L14" s="3" t="s">
        <v>21</v>
      </c>
    </row>
    <row r="15" spans="1:12">
      <c r="A15" s="3" t="s">
        <v>102</v>
      </c>
      <c r="B15" s="3" t="s">
        <v>103</v>
      </c>
      <c r="C15" s="3" t="s">
        <v>104</v>
      </c>
      <c r="D15" s="3" t="s">
        <v>105</v>
      </c>
      <c r="E15" s="3" t="s">
        <v>106</v>
      </c>
      <c r="F15" s="3" t="s">
        <v>17</v>
      </c>
      <c r="G15" s="3" t="s">
        <v>18</v>
      </c>
      <c r="H15" s="3" t="s">
        <v>43</v>
      </c>
      <c r="I15" s="3" t="s">
        <v>52</v>
      </c>
      <c r="J15" s="3" t="s">
        <v>21</v>
      </c>
      <c r="K15" s="3" t="s">
        <v>22</v>
      </c>
      <c r="L15" s="3" t="s">
        <v>21</v>
      </c>
    </row>
    <row r="16" spans="1:12">
      <c r="A16" s="3" t="s">
        <v>107</v>
      </c>
      <c r="B16" s="3" t="s">
        <v>108</v>
      </c>
      <c r="C16" s="3"/>
      <c r="D16" s="3" t="s">
        <v>109</v>
      </c>
      <c r="E16" s="3" t="s">
        <v>110</v>
      </c>
      <c r="F16" s="3" t="s">
        <v>110</v>
      </c>
      <c r="G16" s="3" t="s">
        <v>29</v>
      </c>
      <c r="H16" s="3" t="s">
        <v>19</v>
      </c>
      <c r="I16" s="3" t="s">
        <v>60</v>
      </c>
      <c r="J16" s="3" t="s">
        <v>21</v>
      </c>
      <c r="K16" s="3" t="s">
        <v>22</v>
      </c>
      <c r="L16" s="3" t="s">
        <v>21</v>
      </c>
    </row>
    <row r="17" spans="1:12">
      <c r="A17" s="3" t="s">
        <v>111</v>
      </c>
      <c r="B17" s="3" t="s">
        <v>112</v>
      </c>
      <c r="C17" s="3" t="s">
        <v>113</v>
      </c>
      <c r="D17" s="3" t="s">
        <v>114</v>
      </c>
      <c r="E17" s="3" t="s">
        <v>115</v>
      </c>
      <c r="F17" s="3" t="s">
        <v>115</v>
      </c>
      <c r="G17" s="3" t="s">
        <v>18</v>
      </c>
      <c r="H17" s="3" t="s">
        <v>19</v>
      </c>
      <c r="I17" s="3" t="s">
        <v>66</v>
      </c>
      <c r="J17" s="3" t="s">
        <v>21</v>
      </c>
      <c r="K17" s="3" t="s">
        <v>22</v>
      </c>
      <c r="L17" s="3" t="s">
        <v>21</v>
      </c>
    </row>
  </sheetData>
  <autoFilter ref="A1:L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885B-7FE3-4815-B00D-B14FF235D9DC}">
  <dimension ref="A1:C40"/>
  <sheetViews>
    <sheetView topLeftCell="A16" workbookViewId="0">
      <selection activeCell="B19" sqref="B19"/>
    </sheetView>
  </sheetViews>
  <sheetFormatPr defaultRowHeight="14.4"/>
  <cols>
    <col min="1" max="1" width="85.5546875" bestFit="1" customWidth="1"/>
    <col min="2" max="2" width="65" bestFit="1" customWidth="1"/>
    <col min="3" max="3" width="217.44140625" bestFit="1" customWidth="1"/>
  </cols>
  <sheetData>
    <row r="1" spans="1:3">
      <c r="A1" s="1" t="s">
        <v>151</v>
      </c>
      <c r="B1" t="s">
        <v>176</v>
      </c>
      <c r="C1" t="s">
        <v>177</v>
      </c>
    </row>
    <row r="2" spans="1:3">
      <c r="A2" s="6"/>
    </row>
    <row r="3" spans="1:3">
      <c r="A3" t="s">
        <v>146</v>
      </c>
      <c r="B3" t="s">
        <v>150</v>
      </c>
      <c r="C3" t="s">
        <v>175</v>
      </c>
    </row>
    <row r="4" spans="1:3">
      <c r="A4" t="s">
        <v>166</v>
      </c>
      <c r="B4" t="s">
        <v>171</v>
      </c>
      <c r="C4" t="s">
        <v>174</v>
      </c>
    </row>
    <row r="5" spans="1:3">
      <c r="A5" t="s">
        <v>167</v>
      </c>
      <c r="B5" t="s">
        <v>172</v>
      </c>
      <c r="C5" t="s">
        <v>173</v>
      </c>
    </row>
    <row r="6" spans="1:3">
      <c r="A6" t="s">
        <v>168</v>
      </c>
      <c r="B6" t="s">
        <v>178</v>
      </c>
    </row>
    <row r="7" spans="1:3">
      <c r="A7" t="s">
        <v>169</v>
      </c>
      <c r="B7" t="s">
        <v>170</v>
      </c>
      <c r="C7" t="s">
        <v>179</v>
      </c>
    </row>
    <row r="9" spans="1:3">
      <c r="A9" s="1" t="s">
        <v>152</v>
      </c>
    </row>
    <row r="10" spans="1:3">
      <c r="A10" s="6"/>
    </row>
    <row r="11" spans="1:3">
      <c r="A11" t="s">
        <v>181</v>
      </c>
    </row>
    <row r="12" spans="1:3">
      <c r="A12" t="s">
        <v>182</v>
      </c>
    </row>
    <row r="13" spans="1:3">
      <c r="A13" t="s">
        <v>183</v>
      </c>
    </row>
    <row r="14" spans="1:3">
      <c r="A14" t="s">
        <v>184</v>
      </c>
    </row>
    <row r="16" spans="1:3">
      <c r="A16" s="1" t="s">
        <v>153</v>
      </c>
    </row>
    <row r="17" spans="1:1">
      <c r="A17" s="6"/>
    </row>
    <row r="18" spans="1:1">
      <c r="A18" s="6" t="s">
        <v>147</v>
      </c>
    </row>
    <row r="19" spans="1:1">
      <c r="A19" s="6" t="s">
        <v>148</v>
      </c>
    </row>
    <row r="20" spans="1:1">
      <c r="A20" s="6" t="s">
        <v>149</v>
      </c>
    </row>
    <row r="22" spans="1:1">
      <c r="A22" s="1" t="s">
        <v>159</v>
      </c>
    </row>
    <row r="23" spans="1:1">
      <c r="A23" s="6"/>
    </row>
    <row r="24" spans="1:1">
      <c r="A24" s="6" t="s">
        <v>154</v>
      </c>
    </row>
    <row r="25" spans="1:1">
      <c r="A25" s="6" t="s">
        <v>155</v>
      </c>
    </row>
    <row r="26" spans="1:1">
      <c r="A26" s="6" t="s">
        <v>156</v>
      </c>
    </row>
    <row r="27" spans="1:1">
      <c r="A27" s="6" t="s">
        <v>157</v>
      </c>
    </row>
    <row r="28" spans="1:1">
      <c r="A28" s="6" t="s">
        <v>158</v>
      </c>
    </row>
    <row r="30" spans="1:1">
      <c r="A30" s="1" t="s">
        <v>161</v>
      </c>
    </row>
    <row r="31" spans="1:1">
      <c r="A31" s="6"/>
    </row>
    <row r="32" spans="1:1">
      <c r="A32" s="6" t="s">
        <v>160</v>
      </c>
    </row>
    <row r="34" spans="1:1">
      <c r="A34" s="1" t="s">
        <v>163</v>
      </c>
    </row>
    <row r="35" spans="1:1">
      <c r="A35" s="6"/>
    </row>
    <row r="36" spans="1:1">
      <c r="A36" s="6" t="s">
        <v>162</v>
      </c>
    </row>
    <row r="38" spans="1:1">
      <c r="A38" s="1" t="s">
        <v>165</v>
      </c>
    </row>
    <row r="39" spans="1:1">
      <c r="A39" s="6"/>
    </row>
    <row r="40" spans="1:1">
      <c r="A40" s="6" t="s">
        <v>164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0E52C-DC28-432D-9251-43F71C73C736}">
  <dimension ref="A1:E13"/>
  <sheetViews>
    <sheetView workbookViewId="0">
      <selection activeCell="B2" sqref="B2:B13"/>
    </sheetView>
  </sheetViews>
  <sheetFormatPr defaultRowHeight="14.4"/>
  <cols>
    <col min="1" max="1" width="14.77734375" bestFit="1" customWidth="1"/>
    <col min="2" max="2" width="13.33203125" bestFit="1" customWidth="1"/>
    <col min="3" max="3" width="14.109375" bestFit="1" customWidth="1"/>
    <col min="5" max="5" width="87.33203125" bestFit="1" customWidth="1"/>
  </cols>
  <sheetData>
    <row r="1" spans="1:5">
      <c r="A1" s="2" t="s">
        <v>116</v>
      </c>
      <c r="B1" s="2" t="s">
        <v>117</v>
      </c>
      <c r="C1" s="2" t="s">
        <v>199</v>
      </c>
      <c r="D1" s="2" t="s">
        <v>180</v>
      </c>
      <c r="E1" s="2" t="s">
        <v>185</v>
      </c>
    </row>
    <row r="2" spans="1:5">
      <c r="A2" s="4" t="s">
        <v>0</v>
      </c>
      <c r="B2" s="3" t="str">
        <f>'2. Reference Data Dictionary'!A2</f>
        <v>customer_id</v>
      </c>
      <c r="C2" s="3" t="str">
        <f>IF(A2=B2,"NO","YES")</f>
        <v>YES</v>
      </c>
      <c r="D2" s="3" t="str">
        <f>'2. Reference Data Dictionary'!D2</f>
        <v>Yes</v>
      </c>
      <c r="E2" s="3" t="str">
        <f>'2. Reference Data Dictionary'!H2</f>
        <v>Must not be blank. Must be unique. Remove duplicate Customer IDs. Trim leading/trailing spaces.</v>
      </c>
    </row>
    <row r="3" spans="1:5">
      <c r="A3" s="4" t="s">
        <v>1</v>
      </c>
      <c r="B3" s="3" t="str">
        <f>'2. Reference Data Dictionary'!A3</f>
        <v>customer_name</v>
      </c>
      <c r="C3" s="3" t="str">
        <f t="shared" ref="C3:C13" si="0">IF(A3=B3,"NO","YES")</f>
        <v>YES</v>
      </c>
      <c r="D3" s="3" t="str">
        <f>'2. Reference Data Dictionary'!D3</f>
        <v>Yes</v>
      </c>
      <c r="E3" s="3" t="str">
        <f>'2. Reference Data Dictionary'!H3</f>
        <v>Must not be blank. Trim leading/trailing spaces. Standardize name formatting if required by the business.</v>
      </c>
    </row>
    <row r="4" spans="1:5">
      <c r="A4" s="4" t="s">
        <v>2</v>
      </c>
      <c r="B4" s="3" t="str">
        <f>'2. Reference Data Dictionary'!A4</f>
        <v>email</v>
      </c>
      <c r="C4" s="3" t="str">
        <f t="shared" si="0"/>
        <v>YES</v>
      </c>
      <c r="D4" s="3" t="str">
        <f>'2. Reference Data Dictionary'!D4</f>
        <v>Optional</v>
      </c>
      <c r="E4" s="3" t="str">
        <f>'2. Reference Data Dictionary'!H4</f>
        <v>Can be blank. If provided, it should follow a valid email format. Trim spaces.</v>
      </c>
    </row>
    <row r="5" spans="1:5">
      <c r="A5" s="4" t="s">
        <v>3</v>
      </c>
      <c r="B5" s="3" t="str">
        <f>'2. Reference Data Dictionary'!A5</f>
        <v>phone</v>
      </c>
      <c r="C5" s="3" t="str">
        <f t="shared" si="0"/>
        <v>YES</v>
      </c>
      <c r="D5" s="3" t="str">
        <f>'2. Reference Data Dictionary'!D5</f>
        <v>Optional</v>
      </c>
      <c r="E5" s="3" t="str">
        <f>'2. Reference Data Dictionary'!H5</f>
        <v>Can be blank. Remove unnecessary spaces. Validate phone format if required.</v>
      </c>
    </row>
    <row r="6" spans="1:5">
      <c r="A6" s="4" t="s">
        <v>4</v>
      </c>
      <c r="B6" s="3" t="str">
        <f>'2. Reference Data Dictionary'!A6</f>
        <v>address</v>
      </c>
      <c r="C6" s="3" t="str">
        <f t="shared" si="0"/>
        <v>NO</v>
      </c>
      <c r="D6" s="3" t="str">
        <f>'2. Reference Data Dictionary'!D6</f>
        <v>Optional</v>
      </c>
      <c r="E6" s="3" t="str">
        <f>'2. Reference Data Dictionary'!H6</f>
        <v>Can be blank. Trim leading/trailing spaces.</v>
      </c>
    </row>
    <row r="7" spans="1:5">
      <c r="A7" s="4" t="s">
        <v>5</v>
      </c>
      <c r="B7" s="3" t="str">
        <f>'2. Reference Data Dictionary'!A7</f>
        <v>city</v>
      </c>
      <c r="C7" s="3" t="str">
        <f t="shared" si="0"/>
        <v>NO</v>
      </c>
      <c r="D7" s="3" t="str">
        <f>'2. Reference Data Dictionary'!D7</f>
        <v>Optional</v>
      </c>
      <c r="E7" s="3" t="str">
        <f>'2. Reference Data Dictionary'!H7</f>
        <v>Can be blank. Standardize capitalization (e.g., "manila" → "Manila"). Trim spaces.</v>
      </c>
    </row>
    <row r="8" spans="1:5">
      <c r="A8" s="4" t="s">
        <v>6</v>
      </c>
      <c r="B8" s="3" t="str">
        <f>'2. Reference Data Dictionary'!A8</f>
        <v>country</v>
      </c>
      <c r="C8" s="3" t="str">
        <f t="shared" si="0"/>
        <v>NO</v>
      </c>
      <c r="D8" s="3" t="str">
        <f>'2. Reference Data Dictionary'!D8</f>
        <v>Yes</v>
      </c>
      <c r="E8" s="3" t="str">
        <f>'2. Reference Data Dictionary'!H8</f>
        <v>Must not be blank. Standardize country names (e.g., "UAE", "United Arab Emirates").</v>
      </c>
    </row>
    <row r="9" spans="1:5">
      <c r="A9" s="4" t="s">
        <v>7</v>
      </c>
      <c r="B9" s="3" t="str">
        <f>'2. Reference Data Dictionary'!A9</f>
        <v>customer_status</v>
      </c>
      <c r="C9" s="3" t="str">
        <f t="shared" si="0"/>
        <v>YES</v>
      </c>
      <c r="D9" s="3" t="str">
        <f>'2. Reference Data Dictionary'!D9</f>
        <v>Yes</v>
      </c>
      <c r="E9" s="3" t="str">
        <f>'2. Reference Data Dictionary'!H9</f>
        <v>Must not be blank. Only allow valid values such as Active or Inactive. Standardize capitalization.</v>
      </c>
    </row>
    <row r="10" spans="1:5">
      <c r="A10" s="4" t="s">
        <v>8</v>
      </c>
      <c r="B10" s="3" t="str">
        <f>'2. Reference Data Dictionary'!A10</f>
        <v>created_date</v>
      </c>
      <c r="C10" s="3" t="str">
        <f t="shared" si="0"/>
        <v>YES</v>
      </c>
      <c r="D10" s="3" t="str">
        <f>'2. Reference Data Dictionary'!D10</f>
        <v>Yes</v>
      </c>
      <c r="E10" s="3" t="str">
        <f>'2. Reference Data Dictionary'!H10</f>
        <v>Must not be blank. Convert to a standard datetime format before loading.</v>
      </c>
    </row>
    <row r="11" spans="1:5">
      <c r="A11" s="4" t="s">
        <v>9</v>
      </c>
      <c r="B11" s="3" t="str">
        <f>'2. Reference Data Dictionary'!A11</f>
        <v>created_by</v>
      </c>
      <c r="C11" s="3" t="str">
        <f t="shared" si="0"/>
        <v>YES</v>
      </c>
      <c r="D11" s="3" t="str">
        <f>'2. Reference Data Dictionary'!D11</f>
        <v>Yes</v>
      </c>
      <c r="E11" s="3" t="str">
        <f>'2. Reference Data Dictionary'!H11</f>
        <v>Must not be blank. Trim leading/trailing spaces.</v>
      </c>
    </row>
    <row r="12" spans="1:5">
      <c r="A12" s="4" t="s">
        <v>10</v>
      </c>
      <c r="B12" s="3" t="str">
        <f>'2. Reference Data Dictionary'!A12</f>
        <v>updated_date</v>
      </c>
      <c r="C12" s="3" t="str">
        <f t="shared" si="0"/>
        <v>YES</v>
      </c>
      <c r="D12" s="3" t="str">
        <f>'2. Reference Data Dictionary'!D12</f>
        <v>Yes</v>
      </c>
      <c r="E12" s="3" t="str">
        <f>'2. Reference Data Dictionary'!H12</f>
        <v>Must not be blank. Convert to a standard datetime format before loading.</v>
      </c>
    </row>
    <row r="13" spans="1:5">
      <c r="A13" s="4" t="s">
        <v>11</v>
      </c>
      <c r="B13" s="3" t="str">
        <f>'2. Reference Data Dictionary'!A13</f>
        <v>updated_by</v>
      </c>
      <c r="C13" s="3" t="str">
        <f t="shared" si="0"/>
        <v>YES</v>
      </c>
      <c r="D13" s="3" t="str">
        <f>'2. Reference Data Dictionary'!D13</f>
        <v>Yes</v>
      </c>
      <c r="E13" s="3" t="str">
        <f>'2. Reference Data Dictionary'!H13</f>
        <v>Must not be blank. Trim leading/trailing spaces.</v>
      </c>
    </row>
  </sheetData>
  <autoFilter ref="A1:E13" xr:uid="{8C50E52C-DC28-432D-9251-43F71C73C73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2B40-0A1F-4C59-816F-9413D3370614}">
  <dimension ref="A1:H13"/>
  <sheetViews>
    <sheetView workbookViewId="0">
      <selection activeCell="C1" sqref="C1"/>
    </sheetView>
  </sheetViews>
  <sheetFormatPr defaultRowHeight="14.4"/>
  <cols>
    <col min="1" max="1" width="14.6640625" bestFit="1" customWidth="1"/>
    <col min="2" max="2" width="14.44140625" bestFit="1" customWidth="1"/>
    <col min="3" max="3" width="9.44140625" bestFit="1" customWidth="1"/>
    <col min="4" max="4" width="8.5546875" bestFit="1" customWidth="1"/>
    <col min="5" max="5" width="3.77734375" bestFit="1" customWidth="1"/>
    <col min="6" max="6" width="3.44140625" bestFit="1" customWidth="1"/>
    <col min="7" max="7" width="14.6640625" bestFit="1" customWidth="1"/>
    <col min="8" max="8" width="87.33203125" bestFit="1" customWidth="1"/>
    <col min="9" max="9" width="15" bestFit="1" customWidth="1"/>
    <col min="10" max="10" width="14.44140625" bestFit="1" customWidth="1"/>
  </cols>
  <sheetData>
    <row r="1" spans="1:8">
      <c r="A1" s="7" t="s">
        <v>118</v>
      </c>
      <c r="B1" s="7" t="s">
        <v>119</v>
      </c>
      <c r="C1" s="7" t="s">
        <v>189</v>
      </c>
      <c r="D1" s="7" t="s">
        <v>190</v>
      </c>
      <c r="E1" s="7" t="s">
        <v>120</v>
      </c>
      <c r="F1" s="7" t="s">
        <v>121</v>
      </c>
      <c r="G1" s="7" t="s">
        <v>122</v>
      </c>
      <c r="H1" s="7" t="s">
        <v>186</v>
      </c>
    </row>
    <row r="2" spans="1:8">
      <c r="A2" s="8" t="s">
        <v>123</v>
      </c>
      <c r="B2" s="8" t="s">
        <v>124</v>
      </c>
      <c r="C2" s="8" t="s">
        <v>125</v>
      </c>
      <c r="D2" s="8" t="s">
        <v>126</v>
      </c>
      <c r="E2" s="8" t="s">
        <v>127</v>
      </c>
      <c r="F2" s="8" t="s">
        <v>128</v>
      </c>
      <c r="G2" s="8" t="s">
        <v>12</v>
      </c>
      <c r="H2" s="8" t="s">
        <v>187</v>
      </c>
    </row>
    <row r="3" spans="1:8">
      <c r="A3" s="8" t="s">
        <v>129</v>
      </c>
      <c r="B3" s="8" t="s">
        <v>130</v>
      </c>
      <c r="C3" s="8" t="s">
        <v>125</v>
      </c>
      <c r="D3" s="8" t="s">
        <v>126</v>
      </c>
      <c r="E3" s="8" t="s">
        <v>128</v>
      </c>
      <c r="F3" s="8" t="s">
        <v>128</v>
      </c>
      <c r="G3" s="8" t="s">
        <v>131</v>
      </c>
      <c r="H3" s="8" t="s">
        <v>191</v>
      </c>
    </row>
    <row r="4" spans="1:8">
      <c r="A4" s="8" t="s">
        <v>132</v>
      </c>
      <c r="B4" s="8" t="s">
        <v>2</v>
      </c>
      <c r="C4" s="8" t="s">
        <v>125</v>
      </c>
      <c r="D4" s="8" t="s">
        <v>133</v>
      </c>
      <c r="E4" s="8" t="s">
        <v>128</v>
      </c>
      <c r="F4" s="8" t="s">
        <v>128</v>
      </c>
      <c r="G4" s="9" t="s">
        <v>14</v>
      </c>
      <c r="H4" s="8" t="s">
        <v>192</v>
      </c>
    </row>
    <row r="5" spans="1:8">
      <c r="A5" s="8" t="s">
        <v>134</v>
      </c>
      <c r="B5" s="8" t="s">
        <v>135</v>
      </c>
      <c r="C5" s="8" t="s">
        <v>125</v>
      </c>
      <c r="D5" s="8" t="s">
        <v>133</v>
      </c>
      <c r="E5" s="8" t="s">
        <v>128</v>
      </c>
      <c r="F5" s="8" t="s">
        <v>128</v>
      </c>
      <c r="G5" s="8">
        <v>971559522199</v>
      </c>
      <c r="H5" s="8" t="s">
        <v>188</v>
      </c>
    </row>
    <row r="6" spans="1:8">
      <c r="A6" s="8" t="s">
        <v>136</v>
      </c>
      <c r="B6" s="8" t="s">
        <v>4</v>
      </c>
      <c r="C6" s="8" t="s">
        <v>125</v>
      </c>
      <c r="D6" s="8" t="s">
        <v>133</v>
      </c>
      <c r="E6" s="8" t="s">
        <v>128</v>
      </c>
      <c r="F6" s="8" t="s">
        <v>128</v>
      </c>
      <c r="G6" s="8" t="s">
        <v>16</v>
      </c>
      <c r="H6" s="8" t="s">
        <v>193</v>
      </c>
    </row>
    <row r="7" spans="1:8">
      <c r="A7" s="8" t="s">
        <v>137</v>
      </c>
      <c r="B7" s="8" t="s">
        <v>5</v>
      </c>
      <c r="C7" s="8" t="s">
        <v>125</v>
      </c>
      <c r="D7" s="8" t="s">
        <v>133</v>
      </c>
      <c r="E7" s="8" t="s">
        <v>128</v>
      </c>
      <c r="F7" s="8" t="s">
        <v>128</v>
      </c>
      <c r="G7" s="8" t="s">
        <v>17</v>
      </c>
      <c r="H7" s="8" t="s">
        <v>194</v>
      </c>
    </row>
    <row r="8" spans="1:8">
      <c r="A8" s="8" t="s">
        <v>138</v>
      </c>
      <c r="B8" s="8" t="s">
        <v>6</v>
      </c>
      <c r="C8" s="8" t="s">
        <v>125</v>
      </c>
      <c r="D8" s="8" t="s">
        <v>126</v>
      </c>
      <c r="E8" s="8" t="s">
        <v>128</v>
      </c>
      <c r="F8" s="8" t="s">
        <v>128</v>
      </c>
      <c r="G8" s="8" t="s">
        <v>18</v>
      </c>
      <c r="H8" s="8" t="s">
        <v>195</v>
      </c>
    </row>
    <row r="9" spans="1:8">
      <c r="A9" s="8" t="s">
        <v>139</v>
      </c>
      <c r="B9" s="8" t="s">
        <v>140</v>
      </c>
      <c r="C9" s="8" t="s">
        <v>125</v>
      </c>
      <c r="D9" s="8" t="s">
        <v>126</v>
      </c>
      <c r="E9" s="8" t="s">
        <v>128</v>
      </c>
      <c r="F9" s="8" t="s">
        <v>128</v>
      </c>
      <c r="G9" s="8" t="s">
        <v>19</v>
      </c>
      <c r="H9" s="8" t="s">
        <v>196</v>
      </c>
    </row>
    <row r="10" spans="1:8">
      <c r="A10" s="8" t="s">
        <v>141</v>
      </c>
      <c r="B10" s="8" t="s">
        <v>8</v>
      </c>
      <c r="C10" s="8" t="s">
        <v>142</v>
      </c>
      <c r="D10" s="8" t="s">
        <v>126</v>
      </c>
      <c r="E10" s="8" t="s">
        <v>128</v>
      </c>
      <c r="F10" s="8" t="s">
        <v>128</v>
      </c>
      <c r="G10" s="10">
        <v>46204.333333333336</v>
      </c>
      <c r="H10" s="8" t="s">
        <v>197</v>
      </c>
    </row>
    <row r="11" spans="1:8">
      <c r="A11" s="8" t="s">
        <v>143</v>
      </c>
      <c r="B11" s="8" t="s">
        <v>9</v>
      </c>
      <c r="C11" s="8" t="s">
        <v>125</v>
      </c>
      <c r="D11" s="8" t="s">
        <v>126</v>
      </c>
      <c r="E11" s="8" t="s">
        <v>128</v>
      </c>
      <c r="F11" s="8" t="s">
        <v>128</v>
      </c>
      <c r="G11" s="8" t="s">
        <v>21</v>
      </c>
      <c r="H11" s="8" t="s">
        <v>198</v>
      </c>
    </row>
    <row r="12" spans="1:8">
      <c r="A12" s="8" t="s">
        <v>144</v>
      </c>
      <c r="B12" s="8" t="s">
        <v>10</v>
      </c>
      <c r="C12" s="8" t="s">
        <v>142</v>
      </c>
      <c r="D12" s="8" t="s">
        <v>126</v>
      </c>
      <c r="E12" s="8" t="s">
        <v>128</v>
      </c>
      <c r="F12" s="8" t="s">
        <v>128</v>
      </c>
      <c r="G12" s="10">
        <v>46218.395833333336</v>
      </c>
      <c r="H12" s="8" t="s">
        <v>197</v>
      </c>
    </row>
    <row r="13" spans="1:8">
      <c r="A13" s="8" t="s">
        <v>145</v>
      </c>
      <c r="B13" s="8" t="s">
        <v>11</v>
      </c>
      <c r="C13" s="8" t="s">
        <v>125</v>
      </c>
      <c r="D13" s="8" t="s">
        <v>126</v>
      </c>
      <c r="E13" s="8" t="s">
        <v>128</v>
      </c>
      <c r="F13" s="8" t="s">
        <v>128</v>
      </c>
      <c r="G13" s="8" t="s">
        <v>21</v>
      </c>
      <c r="H13" s="8" t="s">
        <v>198</v>
      </c>
    </row>
  </sheetData>
  <hyperlinks>
    <hyperlink ref="G4" r:id="rId1" display="mailto:jeff@email.com" xr:uid="{5DC7ACC4-74EA-437E-9C89-FEE404572C7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20FC-7A5B-4072-B71B-E033BC3E84AB}">
  <sheetPr filterMode="1"/>
  <dimension ref="A1:L30"/>
  <sheetViews>
    <sheetView workbookViewId="0">
      <selection activeCell="B24" sqref="B24"/>
    </sheetView>
  </sheetViews>
  <sheetFormatPr defaultRowHeight="14.4"/>
  <cols>
    <col min="1" max="1" width="22.21875" bestFit="1" customWidth="1"/>
    <col min="2" max="2" width="114.6640625" bestFit="1" customWidth="1"/>
    <col min="3" max="3" width="105.109375" bestFit="1" customWidth="1"/>
    <col min="4" max="4" width="25.44140625" customWidth="1"/>
    <col min="5" max="5" width="11.33203125" bestFit="1" customWidth="1"/>
    <col min="6" max="6" width="9.21875" bestFit="1" customWidth="1"/>
    <col min="7" max="7" width="9.5546875" bestFit="1" customWidth="1"/>
    <col min="8" max="8" width="7.44140625" bestFit="1" customWidth="1"/>
    <col min="9" max="9" width="11.88671875" bestFit="1" customWidth="1"/>
    <col min="10" max="10" width="10.109375" bestFit="1" customWidth="1"/>
    <col min="11" max="11" width="12.6640625" bestFit="1" customWidth="1"/>
    <col min="12" max="12" width="10.88671875" bestFit="1" customWidth="1"/>
  </cols>
  <sheetData>
    <row r="1" spans="1:12">
      <c r="A1" s="5" t="s">
        <v>0</v>
      </c>
      <c r="B1" s="5" t="s">
        <v>1</v>
      </c>
      <c r="C1" s="5" t="s">
        <v>2</v>
      </c>
      <c r="D1" s="5" t="s">
        <v>3</v>
      </c>
      <c r="E1" s="5" t="s">
        <v>4</v>
      </c>
      <c r="F1" s="5" t="s">
        <v>5</v>
      </c>
      <c r="G1" s="5" t="s">
        <v>6</v>
      </c>
      <c r="H1" s="5" t="s">
        <v>7</v>
      </c>
      <c r="I1" s="5" t="s">
        <v>8</v>
      </c>
      <c r="J1" s="5" t="s">
        <v>9</v>
      </c>
      <c r="K1" s="5" t="s">
        <v>10</v>
      </c>
      <c r="L1" s="5" t="s">
        <v>11</v>
      </c>
    </row>
    <row r="2" spans="1:12" hidden="1">
      <c r="A2" s="3" t="s">
        <v>12</v>
      </c>
      <c r="B2" s="3" t="s">
        <v>13</v>
      </c>
      <c r="C2" s="3" t="s">
        <v>14</v>
      </c>
      <c r="D2" s="3" t="s">
        <v>15</v>
      </c>
      <c r="E2" s="3" t="s">
        <v>16</v>
      </c>
      <c r="F2" s="3" t="s">
        <v>17</v>
      </c>
      <c r="G2" s="3" t="s">
        <v>18</v>
      </c>
      <c r="H2" s="3" t="s">
        <v>19</v>
      </c>
      <c r="I2" s="3" t="s">
        <v>20</v>
      </c>
      <c r="J2" s="3" t="s">
        <v>21</v>
      </c>
      <c r="K2" s="3" t="s">
        <v>22</v>
      </c>
      <c r="L2" s="3" t="s">
        <v>21</v>
      </c>
    </row>
    <row r="3" spans="1:12" hidden="1">
      <c r="A3" s="3" t="s">
        <v>23</v>
      </c>
      <c r="B3" s="3" t="s">
        <v>24</v>
      </c>
      <c r="C3" s="3" t="s">
        <v>25</v>
      </c>
      <c r="D3" s="3" t="s">
        <v>26</v>
      </c>
      <c r="E3" s="3" t="s">
        <v>27</v>
      </c>
      <c r="F3" s="3" t="s">
        <v>28</v>
      </c>
      <c r="G3" s="3" t="s">
        <v>29</v>
      </c>
      <c r="H3" s="3" t="s">
        <v>19</v>
      </c>
      <c r="I3" s="3" t="s">
        <v>30</v>
      </c>
      <c r="J3" s="3" t="s">
        <v>21</v>
      </c>
      <c r="K3" s="3" t="s">
        <v>31</v>
      </c>
      <c r="L3" s="3" t="s">
        <v>21</v>
      </c>
    </row>
    <row r="4" spans="1:12">
      <c r="A4" s="3" t="s">
        <v>32</v>
      </c>
      <c r="B4" s="3" t="s">
        <v>33</v>
      </c>
      <c r="C4" s="3"/>
      <c r="D4" s="3" t="s">
        <v>34</v>
      </c>
      <c r="E4" s="3" t="s">
        <v>35</v>
      </c>
      <c r="F4" s="3" t="s">
        <v>17</v>
      </c>
      <c r="G4" s="3" t="s">
        <v>18</v>
      </c>
      <c r="H4" s="3" t="s">
        <v>19</v>
      </c>
      <c r="I4" s="3" t="s">
        <v>36</v>
      </c>
      <c r="J4" s="3" t="s">
        <v>21</v>
      </c>
      <c r="K4" s="3" t="s">
        <v>37</v>
      </c>
      <c r="L4" s="3" t="s">
        <v>21</v>
      </c>
    </row>
    <row r="5" spans="1:12" hidden="1">
      <c r="A5" s="3" t="s">
        <v>38</v>
      </c>
      <c r="B5" s="3" t="s">
        <v>39</v>
      </c>
      <c r="C5" s="3" t="s">
        <v>40</v>
      </c>
      <c r="D5" s="3" t="s">
        <v>41</v>
      </c>
      <c r="E5" s="3" t="s">
        <v>42</v>
      </c>
      <c r="F5" s="3" t="s">
        <v>17</v>
      </c>
      <c r="G5" s="3" t="s">
        <v>18</v>
      </c>
      <c r="H5" s="3" t="s">
        <v>43</v>
      </c>
      <c r="I5" s="3" t="s">
        <v>44</v>
      </c>
      <c r="J5" s="3" t="s">
        <v>21</v>
      </c>
      <c r="K5" s="3" t="s">
        <v>45</v>
      </c>
      <c r="L5" s="3" t="s">
        <v>21</v>
      </c>
    </row>
    <row r="6" spans="1:12" hidden="1">
      <c r="A6" s="3" t="s">
        <v>46</v>
      </c>
      <c r="B6" s="3" t="s">
        <v>47</v>
      </c>
      <c r="C6" s="3" t="s">
        <v>48</v>
      </c>
      <c r="D6" s="3" t="s">
        <v>49</v>
      </c>
      <c r="E6" s="3"/>
      <c r="F6" s="3" t="s">
        <v>50</v>
      </c>
      <c r="G6" s="3" t="s">
        <v>29</v>
      </c>
      <c r="H6" s="3" t="s">
        <v>19</v>
      </c>
      <c r="I6" s="3" t="s">
        <v>51</v>
      </c>
      <c r="J6" s="3" t="s">
        <v>21</v>
      </c>
      <c r="K6" s="3" t="s">
        <v>52</v>
      </c>
      <c r="L6" s="3" t="s">
        <v>21</v>
      </c>
    </row>
    <row r="7" spans="1:12" hidden="1">
      <c r="A7" s="3" t="s">
        <v>53</v>
      </c>
      <c r="B7" s="3" t="s">
        <v>54</v>
      </c>
      <c r="C7" s="3" t="s">
        <v>55</v>
      </c>
      <c r="D7" s="3" t="s">
        <v>56</v>
      </c>
      <c r="E7" s="3" t="s">
        <v>57</v>
      </c>
      <c r="F7" s="3" t="s">
        <v>58</v>
      </c>
      <c r="G7" s="3" t="s">
        <v>58</v>
      </c>
      <c r="H7" s="3" t="s">
        <v>19</v>
      </c>
      <c r="I7" s="3" t="s">
        <v>59</v>
      </c>
      <c r="J7" s="3" t="s">
        <v>21</v>
      </c>
      <c r="K7" s="3" t="s">
        <v>60</v>
      </c>
      <c r="L7" s="3" t="s">
        <v>21</v>
      </c>
    </row>
    <row r="8" spans="1:12" hidden="1">
      <c r="A8" s="3" t="s">
        <v>61</v>
      </c>
      <c r="B8" s="3" t="s">
        <v>62</v>
      </c>
      <c r="C8" s="3" t="s">
        <v>63</v>
      </c>
      <c r="D8" s="3"/>
      <c r="E8" s="3" t="s">
        <v>64</v>
      </c>
      <c r="F8" s="3" t="s">
        <v>28</v>
      </c>
      <c r="G8" s="3" t="s">
        <v>29</v>
      </c>
      <c r="H8" s="3" t="s">
        <v>19</v>
      </c>
      <c r="I8" s="3" t="s">
        <v>65</v>
      </c>
      <c r="J8" s="3" t="s">
        <v>21</v>
      </c>
      <c r="K8" s="3" t="s">
        <v>66</v>
      </c>
      <c r="L8" s="3" t="s">
        <v>21</v>
      </c>
    </row>
    <row r="9" spans="1:12" hidden="1">
      <c r="A9" s="3" t="s">
        <v>67</v>
      </c>
      <c r="B9" s="3" t="s">
        <v>68</v>
      </c>
      <c r="C9" s="3" t="s">
        <v>69</v>
      </c>
      <c r="D9" s="3" t="s">
        <v>70</v>
      </c>
      <c r="E9" s="3" t="s">
        <v>71</v>
      </c>
      <c r="F9" s="3" t="s">
        <v>72</v>
      </c>
      <c r="G9" s="3" t="s">
        <v>18</v>
      </c>
      <c r="H9" s="3" t="s">
        <v>19</v>
      </c>
      <c r="I9" s="3" t="s">
        <v>73</v>
      </c>
      <c r="J9" s="3" t="s">
        <v>21</v>
      </c>
      <c r="K9" s="3" t="s">
        <v>22</v>
      </c>
      <c r="L9" s="3" t="s">
        <v>21</v>
      </c>
    </row>
    <row r="10" spans="1:12" hidden="1">
      <c r="A10" s="3" t="s">
        <v>74</v>
      </c>
      <c r="B10" s="3" t="s">
        <v>75</v>
      </c>
      <c r="C10" s="3" t="s">
        <v>76</v>
      </c>
      <c r="D10" s="3" t="s">
        <v>77</v>
      </c>
      <c r="E10" s="3" t="s">
        <v>78</v>
      </c>
      <c r="F10" s="3" t="s">
        <v>17</v>
      </c>
      <c r="G10" s="3" t="s">
        <v>18</v>
      </c>
      <c r="H10" s="3" t="s">
        <v>19</v>
      </c>
      <c r="I10" s="3" t="s">
        <v>79</v>
      </c>
      <c r="J10" s="3" t="s">
        <v>21</v>
      </c>
      <c r="K10" s="3" t="s">
        <v>22</v>
      </c>
      <c r="L10" s="3" t="s">
        <v>21</v>
      </c>
    </row>
    <row r="11" spans="1:12" hidden="1">
      <c r="A11" s="3" t="s">
        <v>80</v>
      </c>
      <c r="B11" s="3" t="s">
        <v>81</v>
      </c>
      <c r="C11" s="3" t="s">
        <v>82</v>
      </c>
      <c r="D11" s="3" t="s">
        <v>83</v>
      </c>
      <c r="E11" s="3" t="s">
        <v>84</v>
      </c>
      <c r="F11" s="3" t="s">
        <v>85</v>
      </c>
      <c r="G11" s="3" t="s">
        <v>86</v>
      </c>
      <c r="H11" s="3" t="s">
        <v>19</v>
      </c>
      <c r="I11" s="3" t="s">
        <v>87</v>
      </c>
      <c r="J11" s="3" t="s">
        <v>21</v>
      </c>
      <c r="K11" s="3" t="s">
        <v>22</v>
      </c>
      <c r="L11" s="3" t="s">
        <v>21</v>
      </c>
    </row>
    <row r="12" spans="1:12">
      <c r="A12" s="3" t="s">
        <v>32</v>
      </c>
      <c r="B12" s="3" t="s">
        <v>33</v>
      </c>
      <c r="C12" s="3"/>
      <c r="D12" s="3" t="s">
        <v>34</v>
      </c>
      <c r="E12" s="3" t="s">
        <v>35</v>
      </c>
      <c r="F12" s="3" t="s">
        <v>17</v>
      </c>
      <c r="G12" s="3" t="s">
        <v>18</v>
      </c>
      <c r="H12" s="3" t="s">
        <v>19</v>
      </c>
      <c r="I12" s="3" t="s">
        <v>36</v>
      </c>
      <c r="J12" s="3" t="s">
        <v>21</v>
      </c>
      <c r="K12" s="3" t="s">
        <v>37</v>
      </c>
      <c r="L12" s="3" t="s">
        <v>21</v>
      </c>
    </row>
    <row r="13" spans="1:12" hidden="1">
      <c r="A13" s="3" t="s">
        <v>88</v>
      </c>
      <c r="B13" s="3" t="s">
        <v>89</v>
      </c>
      <c r="C13" s="3" t="s">
        <v>90</v>
      </c>
      <c r="D13" s="3" t="s">
        <v>91</v>
      </c>
      <c r="E13" s="3" t="s">
        <v>92</v>
      </c>
      <c r="F13" s="3" t="s">
        <v>93</v>
      </c>
      <c r="G13" s="3" t="s">
        <v>29</v>
      </c>
      <c r="H13" s="3" t="s">
        <v>94</v>
      </c>
      <c r="I13" s="3" t="s">
        <v>95</v>
      </c>
      <c r="J13" s="3" t="s">
        <v>21</v>
      </c>
      <c r="K13" s="3" t="s">
        <v>22</v>
      </c>
      <c r="L13" s="3" t="s">
        <v>21</v>
      </c>
    </row>
    <row r="14" spans="1:12" hidden="1">
      <c r="A14" s="3" t="s">
        <v>96</v>
      </c>
      <c r="B14" s="3" t="s">
        <v>97</v>
      </c>
      <c r="C14" s="3" t="s">
        <v>98</v>
      </c>
      <c r="D14" s="3" t="s">
        <v>99</v>
      </c>
      <c r="E14" s="3" t="s">
        <v>100</v>
      </c>
      <c r="F14" s="3" t="s">
        <v>17</v>
      </c>
      <c r="G14" s="3" t="s">
        <v>18</v>
      </c>
      <c r="H14" s="3" t="s">
        <v>101</v>
      </c>
      <c r="I14" s="3" t="s">
        <v>45</v>
      </c>
      <c r="J14" s="3" t="s">
        <v>21</v>
      </c>
      <c r="K14" s="3" t="s">
        <v>22</v>
      </c>
      <c r="L14" s="3" t="s">
        <v>21</v>
      </c>
    </row>
    <row r="15" spans="1:12" hidden="1">
      <c r="A15" s="3" t="s">
        <v>102</v>
      </c>
      <c r="B15" s="3" t="s">
        <v>103</v>
      </c>
      <c r="C15" s="3" t="s">
        <v>104</v>
      </c>
      <c r="D15" s="3" t="s">
        <v>105</v>
      </c>
      <c r="E15" s="3" t="s">
        <v>106</v>
      </c>
      <c r="F15" s="3" t="s">
        <v>17</v>
      </c>
      <c r="G15" s="3" t="s">
        <v>18</v>
      </c>
      <c r="H15" s="3" t="s">
        <v>43</v>
      </c>
      <c r="I15" s="3" t="s">
        <v>52</v>
      </c>
      <c r="J15" s="3" t="s">
        <v>21</v>
      </c>
      <c r="K15" s="3" t="s">
        <v>22</v>
      </c>
      <c r="L15" s="3" t="s">
        <v>21</v>
      </c>
    </row>
    <row r="16" spans="1:12" hidden="1">
      <c r="A16" s="3" t="s">
        <v>107</v>
      </c>
      <c r="B16" s="3" t="s">
        <v>108</v>
      </c>
      <c r="C16" s="3"/>
      <c r="D16" s="3" t="s">
        <v>109</v>
      </c>
      <c r="E16" s="3" t="s">
        <v>110</v>
      </c>
      <c r="F16" s="3" t="s">
        <v>110</v>
      </c>
      <c r="G16" s="3" t="s">
        <v>29</v>
      </c>
      <c r="H16" s="3" t="s">
        <v>19</v>
      </c>
      <c r="I16" s="3" t="s">
        <v>60</v>
      </c>
      <c r="J16" s="3" t="s">
        <v>21</v>
      </c>
      <c r="K16" s="3" t="s">
        <v>22</v>
      </c>
      <c r="L16" s="3" t="s">
        <v>21</v>
      </c>
    </row>
    <row r="17" spans="1:12" hidden="1">
      <c r="A17" s="3" t="s">
        <v>111</v>
      </c>
      <c r="B17" s="3" t="s">
        <v>112</v>
      </c>
      <c r="C17" s="3" t="s">
        <v>113</v>
      </c>
      <c r="D17" s="3" t="s">
        <v>114</v>
      </c>
      <c r="E17" s="3" t="s">
        <v>115</v>
      </c>
      <c r="F17" s="3" t="s">
        <v>115</v>
      </c>
      <c r="G17" s="3" t="s">
        <v>18</v>
      </c>
      <c r="H17" s="3" t="s">
        <v>19</v>
      </c>
      <c r="I17" s="3" t="s">
        <v>66</v>
      </c>
      <c r="J17" s="3" t="s">
        <v>21</v>
      </c>
      <c r="K17" s="3" t="s">
        <v>22</v>
      </c>
      <c r="L17" s="3" t="s">
        <v>21</v>
      </c>
    </row>
    <row r="20" spans="1:12">
      <c r="A20" s="7" t="s">
        <v>200</v>
      </c>
      <c r="B20" s="7" t="s">
        <v>201</v>
      </c>
      <c r="C20" s="7" t="s">
        <v>202</v>
      </c>
      <c r="D20" s="7" t="s">
        <v>223</v>
      </c>
    </row>
    <row r="21" spans="1:12">
      <c r="A21" s="8" t="s">
        <v>203</v>
      </c>
      <c r="B21" s="8" t="s">
        <v>204</v>
      </c>
      <c r="C21" s="8" t="s">
        <v>234</v>
      </c>
      <c r="D21" s="3"/>
    </row>
    <row r="22" spans="1:12">
      <c r="A22" s="8" t="s">
        <v>205</v>
      </c>
      <c r="B22" s="8" t="s">
        <v>206</v>
      </c>
      <c r="C22" s="8" t="s">
        <v>228</v>
      </c>
      <c r="D22" s="3" t="s">
        <v>233</v>
      </c>
    </row>
    <row r="23" spans="1:12">
      <c r="A23" s="8" t="s">
        <v>207</v>
      </c>
      <c r="B23" s="8" t="s">
        <v>208</v>
      </c>
      <c r="C23" s="8" t="s">
        <v>235</v>
      </c>
      <c r="D23" s="3"/>
    </row>
    <row r="24" spans="1:12">
      <c r="A24" s="8" t="s">
        <v>209</v>
      </c>
      <c r="B24" s="8" t="s">
        <v>210</v>
      </c>
      <c r="C24" s="8" t="s">
        <v>224</v>
      </c>
      <c r="D24" s="3" t="s">
        <v>236</v>
      </c>
    </row>
    <row r="25" spans="1:12">
      <c r="A25" s="8" t="s">
        <v>211</v>
      </c>
      <c r="B25" s="8" t="s">
        <v>212</v>
      </c>
      <c r="C25" s="8" t="s">
        <v>225</v>
      </c>
      <c r="D25" s="3" t="s">
        <v>230</v>
      </c>
    </row>
    <row r="26" spans="1:12">
      <c r="A26" s="8" t="s">
        <v>213</v>
      </c>
      <c r="B26" s="8" t="s">
        <v>214</v>
      </c>
      <c r="C26" s="8" t="s">
        <v>237</v>
      </c>
      <c r="D26" s="3" t="s">
        <v>231</v>
      </c>
    </row>
    <row r="27" spans="1:12">
      <c r="A27" s="8" t="s">
        <v>215</v>
      </c>
      <c r="B27" s="8" t="s">
        <v>216</v>
      </c>
      <c r="C27" s="8" t="s">
        <v>226</v>
      </c>
      <c r="D27" s="3" t="s">
        <v>238</v>
      </c>
    </row>
    <row r="28" spans="1:12">
      <c r="A28" s="8" t="s">
        <v>217</v>
      </c>
      <c r="B28" s="8" t="s">
        <v>218</v>
      </c>
      <c r="C28" s="8" t="s">
        <v>227</v>
      </c>
      <c r="D28" s="3" t="s">
        <v>229</v>
      </c>
    </row>
    <row r="29" spans="1:12">
      <c r="A29" s="8" t="s">
        <v>219</v>
      </c>
      <c r="B29" s="8" t="s">
        <v>220</v>
      </c>
      <c r="C29" s="8" t="s">
        <v>239</v>
      </c>
      <c r="D29" s="3" t="s">
        <v>232</v>
      </c>
    </row>
    <row r="30" spans="1:12">
      <c r="A30" s="8" t="s">
        <v>221</v>
      </c>
      <c r="B30" s="8" t="s">
        <v>222</v>
      </c>
      <c r="C30" s="8" t="s">
        <v>240</v>
      </c>
      <c r="D30" s="3" t="s">
        <v>241</v>
      </c>
    </row>
  </sheetData>
  <autoFilter ref="A1:L17" xr:uid="{AF8420FC-7A5B-4072-B71B-E033BC3E84AB}">
    <filterColumn colId="0">
      <filters>
        <filter val="C003"/>
      </filters>
    </filterColumn>
  </autoFilter>
  <conditionalFormatting sqref="A2:A17">
    <cfRule type="duplicateValues" dxfId="1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FE037-B072-4552-B21A-89BC19B3EA4F}">
  <dimension ref="A1:F13"/>
  <sheetViews>
    <sheetView tabSelected="1" workbookViewId="0">
      <selection activeCell="E14" sqref="E14:E15"/>
    </sheetView>
  </sheetViews>
  <sheetFormatPr defaultColWidth="130.44140625" defaultRowHeight="14.4"/>
  <cols>
    <col min="1" max="1" width="19.21875" bestFit="1" customWidth="1"/>
    <col min="2" max="2" width="12.33203125" bestFit="1" customWidth="1"/>
    <col min="3" max="3" width="14.33203125" bestFit="1" customWidth="1"/>
    <col min="4" max="4" width="45.77734375" bestFit="1" customWidth="1"/>
    <col min="5" max="5" width="49.77734375" bestFit="1" customWidth="1"/>
    <col min="6" max="6" width="10.6640625" bestFit="1" customWidth="1"/>
  </cols>
  <sheetData>
    <row r="1" spans="1:6" ht="19.8">
      <c r="A1" s="12" t="s">
        <v>270</v>
      </c>
      <c r="B1" s="12"/>
      <c r="C1" s="12"/>
      <c r="D1" s="12"/>
      <c r="E1" s="12"/>
    </row>
    <row r="2" spans="1:6">
      <c r="A2" s="13" t="s">
        <v>242</v>
      </c>
      <c r="B2" s="14" t="s">
        <v>243</v>
      </c>
      <c r="C2" s="14" t="s">
        <v>244</v>
      </c>
      <c r="D2" s="14" t="s">
        <v>245</v>
      </c>
      <c r="E2" s="14" t="s">
        <v>246</v>
      </c>
      <c r="F2" s="15" t="s">
        <v>7</v>
      </c>
    </row>
    <row r="3" spans="1:6">
      <c r="A3" s="11" t="s">
        <v>247</v>
      </c>
      <c r="B3" s="3" t="s">
        <v>0</v>
      </c>
      <c r="C3" s="3" t="s">
        <v>248</v>
      </c>
      <c r="D3" s="3" t="s">
        <v>249</v>
      </c>
      <c r="E3" s="3" t="s">
        <v>128</v>
      </c>
      <c r="F3" s="16" t="s">
        <v>271</v>
      </c>
    </row>
    <row r="4" spans="1:6">
      <c r="A4" s="11" t="s">
        <v>250</v>
      </c>
      <c r="B4" s="3" t="s">
        <v>1</v>
      </c>
      <c r="C4" s="3" t="s">
        <v>251</v>
      </c>
      <c r="D4" s="3" t="s">
        <v>252</v>
      </c>
      <c r="E4" s="3" t="s">
        <v>128</v>
      </c>
      <c r="F4" s="16" t="s">
        <v>271</v>
      </c>
    </row>
    <row r="5" spans="1:6">
      <c r="A5" s="11" t="s">
        <v>253</v>
      </c>
      <c r="B5" s="3" t="s">
        <v>1</v>
      </c>
      <c r="C5" s="3" t="s">
        <v>254</v>
      </c>
      <c r="D5" s="3" t="s">
        <v>255</v>
      </c>
      <c r="E5" s="3" t="s">
        <v>256</v>
      </c>
      <c r="F5" s="16" t="s">
        <v>271</v>
      </c>
    </row>
    <row r="6" spans="1:6">
      <c r="A6" s="11" t="s">
        <v>253</v>
      </c>
      <c r="B6" s="3" t="s">
        <v>7</v>
      </c>
      <c r="C6" s="3" t="s">
        <v>254</v>
      </c>
      <c r="D6" s="3" t="s">
        <v>257</v>
      </c>
      <c r="E6" s="3" t="s">
        <v>128</v>
      </c>
      <c r="F6" s="16" t="s">
        <v>271</v>
      </c>
    </row>
    <row r="7" spans="1:6">
      <c r="A7" s="11" t="s">
        <v>253</v>
      </c>
      <c r="B7" s="3" t="s">
        <v>5</v>
      </c>
      <c r="C7" s="3" t="s">
        <v>254</v>
      </c>
      <c r="D7" s="3" t="s">
        <v>258</v>
      </c>
      <c r="E7" s="3" t="s">
        <v>128</v>
      </c>
      <c r="F7" s="16" t="s">
        <v>271</v>
      </c>
    </row>
    <row r="8" spans="1:6">
      <c r="A8" s="11" t="s">
        <v>259</v>
      </c>
      <c r="B8" s="3" t="s">
        <v>8</v>
      </c>
      <c r="C8" s="3" t="s">
        <v>260</v>
      </c>
      <c r="D8" s="3" t="s">
        <v>261</v>
      </c>
      <c r="E8" s="3" t="s">
        <v>262</v>
      </c>
      <c r="F8" s="16" t="s">
        <v>271</v>
      </c>
    </row>
    <row r="9" spans="1:6">
      <c r="A9" s="11" t="s">
        <v>259</v>
      </c>
      <c r="B9" s="3" t="s">
        <v>10</v>
      </c>
      <c r="C9" s="3" t="s">
        <v>260</v>
      </c>
      <c r="D9" s="3" t="s">
        <v>261</v>
      </c>
      <c r="E9" s="3" t="s">
        <v>262</v>
      </c>
      <c r="F9" s="16" t="s">
        <v>271</v>
      </c>
    </row>
    <row r="10" spans="1:6">
      <c r="A10" s="11" t="s">
        <v>263</v>
      </c>
      <c r="B10" s="3" t="s">
        <v>3</v>
      </c>
      <c r="C10" s="3" t="s">
        <v>264</v>
      </c>
      <c r="D10" s="3" t="s">
        <v>265</v>
      </c>
      <c r="E10" s="3" t="s">
        <v>266</v>
      </c>
      <c r="F10" s="16" t="s">
        <v>271</v>
      </c>
    </row>
    <row r="11" spans="1:6">
      <c r="A11" s="11" t="s">
        <v>267</v>
      </c>
      <c r="B11" s="3" t="s">
        <v>2</v>
      </c>
      <c r="C11" s="3" t="s">
        <v>268</v>
      </c>
      <c r="D11" s="3" t="s">
        <v>269</v>
      </c>
      <c r="E11" s="3" t="s">
        <v>128</v>
      </c>
      <c r="F11" s="16" t="s">
        <v>272</v>
      </c>
    </row>
    <row r="12" spans="1:6">
      <c r="A12" s="11" t="s">
        <v>267</v>
      </c>
      <c r="B12" s="3" t="s">
        <v>3</v>
      </c>
      <c r="C12" s="3" t="s">
        <v>268</v>
      </c>
      <c r="D12" s="3" t="s">
        <v>269</v>
      </c>
      <c r="E12" s="3" t="s">
        <v>128</v>
      </c>
      <c r="F12" s="16" t="s">
        <v>272</v>
      </c>
    </row>
    <row r="13" spans="1:6">
      <c r="A13" s="17" t="s">
        <v>267</v>
      </c>
      <c r="B13" s="18" t="s">
        <v>4</v>
      </c>
      <c r="C13" s="18" t="s">
        <v>268</v>
      </c>
      <c r="D13" s="18" t="s">
        <v>269</v>
      </c>
      <c r="E13" s="18" t="s">
        <v>128</v>
      </c>
      <c r="F13" s="19" t="s">
        <v>272</v>
      </c>
    </row>
  </sheetData>
  <mergeCells count="1">
    <mergeCell ref="A1:E1"/>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CRM Customers</vt:lpstr>
      <vt:lpstr>Steps &amp; Checklist</vt:lpstr>
      <vt:lpstr>2. Review Data Dictionary</vt:lpstr>
      <vt:lpstr>2. Reference Data Dictionary</vt:lpstr>
      <vt:lpstr>3. Manual Inspection</vt:lpstr>
      <vt:lpstr>Data Cleaning and Transfomation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Leolou Jeffrey Sanchez</cp:lastModifiedBy>
  <dcterms:created xsi:type="dcterms:W3CDTF">2026-07-29T22:04:47Z</dcterms:created>
  <dcterms:modified xsi:type="dcterms:W3CDTF">2026-08-12T02:53:46Z</dcterms:modified>
</cp:coreProperties>
</file>